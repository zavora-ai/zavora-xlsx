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c6dec249ad257b/Documents/chandoo.org/charting/"/>
    </mc:Choice>
  </mc:AlternateContent>
  <xr:revisionPtr revIDLastSave="0" documentId="10_ncr:8100000_{D9060F75-C526-4023-8F16-92330DE76E35}" xr6:coauthVersionLast="32" xr6:coauthVersionMax="32" xr10:uidLastSave="{00000000-0000-0000-0000-000000000000}"/>
  <bookViews>
    <workbookView xWindow="0" yWindow="0" windowWidth="28800" windowHeight="12216" xr2:uid="{00000000-000D-0000-FFFF-FFFF00000000}"/>
  </bookViews>
  <sheets>
    <sheet name="Budget v Actu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F6" i="1" s="1"/>
  <c r="G6" i="1" s="1"/>
  <c r="H6" i="1" s="1"/>
  <c r="E7" i="1"/>
  <c r="E8" i="1"/>
  <c r="F8" i="1" s="1"/>
  <c r="G8" i="1" s="1"/>
  <c r="E9" i="1"/>
  <c r="E10" i="1"/>
  <c r="E11" i="1"/>
  <c r="E12" i="1"/>
  <c r="F12" i="1"/>
  <c r="G12" i="1" s="1"/>
  <c r="E13" i="1"/>
  <c r="E14" i="1"/>
  <c r="F14" i="1" l="1"/>
  <c r="H12" i="1"/>
  <c r="F10" i="1"/>
  <c r="H8" i="1"/>
  <c r="F13" i="1"/>
  <c r="I12" i="1"/>
  <c r="F11" i="1"/>
  <c r="F9" i="1"/>
  <c r="I8" i="1"/>
  <c r="F7" i="1"/>
  <c r="I6" i="1"/>
  <c r="G10" i="1" l="1"/>
  <c r="H10" i="1"/>
  <c r="I10" i="1"/>
  <c r="G14" i="1"/>
  <c r="I14" i="1" s="1"/>
  <c r="H14" i="1"/>
  <c r="G7" i="1"/>
  <c r="H7" i="1" s="1"/>
  <c r="I7" i="1"/>
  <c r="H9" i="1"/>
  <c r="G9" i="1"/>
  <c r="I9" i="1" s="1"/>
  <c r="H11" i="1"/>
  <c r="G11" i="1"/>
  <c r="I11" i="1" s="1"/>
  <c r="G13" i="1"/>
  <c r="I13" i="1" s="1"/>
  <c r="H13" i="1" l="1"/>
</calcChain>
</file>

<file path=xl/sharedStrings.xml><?xml version="1.0" encoding="utf-8"?>
<sst xmlns="http://schemas.openxmlformats.org/spreadsheetml/2006/main" count="43" uniqueCount="42">
  <si>
    <t>👍👍</t>
  </si>
  <si>
    <t>👍</t>
  </si>
  <si>
    <t>👌</t>
  </si>
  <si>
    <t>🤞</t>
  </si>
  <si>
    <t>👎</t>
  </si>
  <si>
    <t>I</t>
  </si>
  <si>
    <t>H</t>
  </si>
  <si>
    <t>G</t>
  </si>
  <si>
    <t>F</t>
  </si>
  <si>
    <t>E</t>
  </si>
  <si>
    <t>D</t>
  </si>
  <si>
    <t>C</t>
  </si>
  <si>
    <t>B</t>
  </si>
  <si>
    <t>A</t>
  </si>
  <si>
    <t>Var 2</t>
  </si>
  <si>
    <t>Var 1</t>
  </si>
  <si>
    <t>Symbol</t>
  </si>
  <si>
    <t>Var %</t>
  </si>
  <si>
    <t>Var</t>
  </si>
  <si>
    <t>Actual</t>
  </si>
  <si>
    <t>Budget</t>
  </si>
  <si>
    <t>Category</t>
  </si>
  <si>
    <t>Symbol Mapping</t>
  </si>
  <si>
    <t>%</t>
  </si>
  <si>
    <t>Budget vs. Actual Chart Template</t>
  </si>
  <si>
    <t>Data</t>
  </si>
  <si>
    <t>Chart</t>
  </si>
  <si>
    <t>Chart Creation Steps:</t>
  </si>
  <si>
    <t>Insert a regular column chart (clustered) from budget &amp; actual data</t>
  </si>
  <si>
    <t>Add the same data again to the chart.</t>
  </si>
  <si>
    <t>Convert newly added series to lines</t>
  </si>
  <si>
    <t>Select either line and add up-down bars</t>
  </si>
  <si>
    <t>Format up &amp; down bars, budget &amp; actual columns</t>
  </si>
  <si>
    <t>Adjust Gap width &amp; overlap</t>
  </si>
  <si>
    <t>For columns: overlap 0%, gapwidth: 150%</t>
  </si>
  <si>
    <t>For lines: gapwidth:300%</t>
  </si>
  <si>
    <t>Make the lines transparent (ie no-line)</t>
  </si>
  <si>
    <t>Remove un-necessary legend items and set up a title</t>
  </si>
  <si>
    <t>Add data labels to budget and actual lines</t>
  </si>
  <si>
    <t>Change data labels to calculated values</t>
  </si>
  <si>
    <t>Change label position to "Above"</t>
  </si>
  <si>
    <t>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</si>
</sst>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 Emoji"/>
      <family val="2"/>
    </font>
    <font>
      <b/>
      <sz val="11"/>
      <color theme="1"/>
      <name val="Calibri"/>
      <family val="2"/>
      <scheme val="minor"/>
    </font>
    <font>
      <sz val="20"/>
      <color theme="0" tint="-4.9989318521683403E-2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0" borderId="0" xfId="0" applyFont="1"/>
    <xf numFmtId="0" fontId="3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right"/>
    </xf>
    <xf numFmtId="9" fontId="0" fillId="4" borderId="1" xfId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Budget vs. Actual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2"/>
          <c:tx>
            <c:strRef>
              <c:f>'Budget v Actual'!$C$5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D-4F8F-9A07-D37194B9221D}"/>
            </c:ext>
          </c:extLst>
        </c:ser>
        <c:ser>
          <c:idx val="1"/>
          <c:order val="3"/>
          <c:tx>
            <c:strRef>
              <c:f>'Budget v Actual'!$D$5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D-4F8F-9A07-D37194B92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343311376"/>
        <c:axId val="1442871744"/>
      </c:barChart>
      <c:lineChart>
        <c:grouping val="standard"/>
        <c:varyColors val="0"/>
        <c:ser>
          <c:idx val="2"/>
          <c:order val="0"/>
          <c:tx>
            <c:v>Budget Line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A0ECD18-26B0-4D61-8DC5-192B2CD221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A7D-4F8F-9A07-D37194B922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6F1A07-6AC5-4649-B327-E378FCFFA8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A7D-4F8F-9A07-D37194B922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A887AA1-1836-49D9-96A7-83D27E9C13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A7D-4F8F-9A07-D37194B922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59F5D65-74C7-4DC5-AAD1-90A060A524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A7D-4F8F-9A07-D37194B922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05EEC1C-1941-4A4E-BD5E-649F55D48A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A7D-4F8F-9A07-D37194B922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D5AAADF-9801-4C01-9498-DD8E551C20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A7D-4F8F-9A07-D37194B922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E63D4D0-E43F-49B9-87D2-50305C2EA0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A7D-4F8F-9A07-D37194B922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94FC730-5245-440B-A1E5-127B6E8334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A7D-4F8F-9A07-D37194B922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ACF2353-5195-4A33-A4BB-D030E313BF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A7D-4F8F-9A07-D37194B922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'Budget v Actual'!$H$6:$H$14</c15:f>
                <c15:dlblRangeCache>
                  <c:ptCount val="9"/>
                  <c:pt idx="0">
                    <c:v>👎 30%</c:v>
                  </c:pt>
                  <c:pt idx="1">
                    <c:v>🤞 5%</c:v>
                  </c:pt>
                  <c:pt idx="7">
                    <c:v>👎 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8A7D-4F8F-9A07-D37194B9221D}"/>
            </c:ext>
          </c:extLst>
        </c:ser>
        <c:ser>
          <c:idx val="3"/>
          <c:order val="1"/>
          <c:tx>
            <c:v>Actual Line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DB3791F-576E-4A5F-8D87-F020AC371A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8A7D-4F8F-9A07-D37194B922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C03B768-09FA-440E-BB09-C19C41AF21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A7D-4F8F-9A07-D37194B922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26FC934-2632-4F3E-8768-81B2BC30EE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A7D-4F8F-9A07-D37194B922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1861C58-7278-4BBC-A32D-F8D09583BE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A7D-4F8F-9A07-D37194B922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F137F8C-2DB8-4939-8F07-7FADE9F2AD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A7D-4F8F-9A07-D37194B922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17849C4-C4F1-4946-A481-87931B0227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A7D-4F8F-9A07-D37194B922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5AAD7C7-C1C7-4035-8F23-0C385EB5EB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A7D-4F8F-9A07-D37194B922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815EEB0-E547-4CBB-B2AA-5535624034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8A7D-4F8F-9A07-D37194B922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5EE8AF4-6A69-4F4A-B2E2-A71BECF7F1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A7D-4F8F-9A07-D37194B922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'Budget v Actual'!$I$6:$I$14</c15:f>
                <c15:dlblRangeCache>
                  <c:ptCount val="9"/>
                  <c:pt idx="2">
                    <c:v>👌 0%</c:v>
                  </c:pt>
                  <c:pt idx="3">
                    <c:v>👌 4%</c:v>
                  </c:pt>
                  <c:pt idx="4">
                    <c:v>👌 7%</c:v>
                  </c:pt>
                  <c:pt idx="5">
                    <c:v>👍 10%</c:v>
                  </c:pt>
                  <c:pt idx="6">
                    <c:v>👍 13%</c:v>
                  </c:pt>
                  <c:pt idx="8">
                    <c:v>👍👍 42%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A7D-4F8F-9A07-D37194B92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400"/>
          <c:upBars>
            <c:spPr>
              <a:solidFill>
                <a:schemeClr val="accent6"/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</a:ln>
              <a:effectLst/>
            </c:spPr>
          </c:upBars>
          <c:downBars>
            <c:spPr>
              <a:solidFill>
                <a:schemeClr val="accent4"/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</a:ln>
              <a:effectLst/>
            </c:spPr>
          </c:downBars>
        </c:upDownBars>
        <c:marker val="1"/>
        <c:smooth val="0"/>
        <c:axId val="1343311376"/>
        <c:axId val="1442871744"/>
      </c:lineChart>
      <c:catAx>
        <c:axId val="134331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871744"/>
        <c:crosses val="autoZero"/>
        <c:auto val="1"/>
        <c:lblAlgn val="ctr"/>
        <c:lblOffset val="100"/>
        <c:noMultiLvlLbl val="0"/>
      </c:catAx>
      <c:valAx>
        <c:axId val="144287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1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 Actual'!$C$5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7-4F95-BDA4-BCDE0F80CD6E}"/>
            </c:ext>
          </c:extLst>
        </c:ser>
        <c:ser>
          <c:idx val="1"/>
          <c:order val="1"/>
          <c:tx>
            <c:strRef>
              <c:f>'Budget v Actual'!$D$5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17-4F95-BDA4-BCDE0F80C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992207"/>
        <c:axId val="1302324255"/>
      </c:barChart>
      <c:catAx>
        <c:axId val="13449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24255"/>
        <c:crosses val="autoZero"/>
        <c:auto val="1"/>
        <c:lblAlgn val="ctr"/>
        <c:lblOffset val="100"/>
        <c:noMultiLvlLbl val="0"/>
      </c:catAx>
      <c:valAx>
        <c:axId val="13023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 Actual'!$C$5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C-492A-A0F8-27A0BFED6ADA}"/>
            </c:ext>
          </c:extLst>
        </c:ser>
        <c:ser>
          <c:idx val="1"/>
          <c:order val="1"/>
          <c:tx>
            <c:strRef>
              <c:f>'Budget v Actual'!$D$5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2C-492A-A0F8-27A0BFED6AD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2C-492A-A0F8-27A0BFED6AD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2C-492A-A0F8-27A0BFED6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992207"/>
        <c:axId val="1302324255"/>
      </c:barChart>
      <c:catAx>
        <c:axId val="13449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24255"/>
        <c:crosses val="autoZero"/>
        <c:auto val="1"/>
        <c:lblAlgn val="ctr"/>
        <c:lblOffset val="100"/>
        <c:noMultiLvlLbl val="0"/>
      </c:catAx>
      <c:valAx>
        <c:axId val="13023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 Actual'!$C$5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7-4724-B95F-ADB2AEAD5852}"/>
            </c:ext>
          </c:extLst>
        </c:ser>
        <c:ser>
          <c:idx val="1"/>
          <c:order val="1"/>
          <c:tx>
            <c:strRef>
              <c:f>'Budget v Actual'!$D$5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7-4724-B95F-ADB2AEAD5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992207"/>
        <c:axId val="1302324255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A7-4724-B95F-ADB2AEAD585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A7-4724-B95F-ADB2AEAD5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992207"/>
        <c:axId val="1302324255"/>
      </c:lineChart>
      <c:catAx>
        <c:axId val="13449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24255"/>
        <c:crosses val="autoZero"/>
        <c:auto val="1"/>
        <c:lblAlgn val="ctr"/>
        <c:lblOffset val="100"/>
        <c:noMultiLvlLbl val="0"/>
      </c:catAx>
      <c:valAx>
        <c:axId val="13023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 Actual'!$C$5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5-4CBA-9D18-B32E8522EDB2}"/>
            </c:ext>
          </c:extLst>
        </c:ser>
        <c:ser>
          <c:idx val="1"/>
          <c:order val="1"/>
          <c:tx>
            <c:strRef>
              <c:f>'Budget v Actual'!$D$5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5-4CBA-9D18-B32E8522E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992207"/>
        <c:axId val="1302324255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95-4CBA-9D18-B32E8522EDB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95-4CBA-9D18-B32E8522E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344992207"/>
        <c:axId val="1302324255"/>
      </c:lineChart>
      <c:catAx>
        <c:axId val="13449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24255"/>
        <c:crosses val="autoZero"/>
        <c:auto val="1"/>
        <c:lblAlgn val="ctr"/>
        <c:lblOffset val="100"/>
        <c:noMultiLvlLbl val="0"/>
      </c:catAx>
      <c:valAx>
        <c:axId val="13023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 Actual'!$C$5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8-4872-BECA-F5F1C3C7267E}"/>
            </c:ext>
          </c:extLst>
        </c:ser>
        <c:ser>
          <c:idx val="1"/>
          <c:order val="1"/>
          <c:tx>
            <c:strRef>
              <c:f>'Budget v Actual'!$D$5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8-4872-BECA-F5F1C3C7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992207"/>
        <c:axId val="1302324255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98-4872-BECA-F5F1C3C7267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98-4872-BECA-F5F1C3C7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accent6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upBars>
          <c:downBars>
            <c:spPr>
              <a:solidFill>
                <a:schemeClr val="accent4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downBars>
        </c:upDownBars>
        <c:marker val="1"/>
        <c:smooth val="0"/>
        <c:axId val="1344992207"/>
        <c:axId val="1302324255"/>
      </c:lineChart>
      <c:catAx>
        <c:axId val="13449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24255"/>
        <c:crosses val="autoZero"/>
        <c:auto val="1"/>
        <c:lblAlgn val="ctr"/>
        <c:lblOffset val="100"/>
        <c:noMultiLvlLbl val="0"/>
      </c:catAx>
      <c:valAx>
        <c:axId val="13023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 Actual'!$C$5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7-469E-83EE-DC13D6042DD5}"/>
            </c:ext>
          </c:extLst>
        </c:ser>
        <c:ser>
          <c:idx val="1"/>
          <c:order val="1"/>
          <c:tx>
            <c:strRef>
              <c:f>'Budget v Actual'!$D$5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57-469E-83EE-DC13D6042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992207"/>
        <c:axId val="1302324255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57-469E-83EE-DC13D6042DD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57-469E-83EE-DC13D6042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300"/>
          <c:upBars>
            <c:spPr>
              <a:solidFill>
                <a:schemeClr val="accent6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upBars>
          <c:downBars>
            <c:spPr>
              <a:solidFill>
                <a:schemeClr val="accent4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downBars>
        </c:upDownBars>
        <c:marker val="1"/>
        <c:smooth val="0"/>
        <c:axId val="1344992207"/>
        <c:axId val="1302324255"/>
      </c:lineChart>
      <c:catAx>
        <c:axId val="13449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24255"/>
        <c:crosses val="autoZero"/>
        <c:auto val="1"/>
        <c:lblAlgn val="ctr"/>
        <c:lblOffset val="100"/>
        <c:noMultiLvlLbl val="0"/>
      </c:catAx>
      <c:valAx>
        <c:axId val="13023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 Actual'!$C$5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F-4A42-B99B-EF68AE4EBDB8}"/>
            </c:ext>
          </c:extLst>
        </c:ser>
        <c:ser>
          <c:idx val="1"/>
          <c:order val="1"/>
          <c:tx>
            <c:strRef>
              <c:f>'Budget v Actual'!$D$5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F-4A42-B99B-EF68AE4EB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992207"/>
        <c:axId val="1302324255"/>
      </c:barChart>
      <c:lineChart>
        <c:grouping val="standard"/>
        <c:varyColors val="0"/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7F-4A42-B99B-EF68AE4EBDB8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7F-4A42-B99B-EF68AE4EB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300"/>
          <c:upBars>
            <c:spPr>
              <a:solidFill>
                <a:schemeClr val="accent6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upBars>
          <c:downBars>
            <c:spPr>
              <a:solidFill>
                <a:schemeClr val="accent4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downBars>
        </c:upDownBars>
        <c:marker val="1"/>
        <c:smooth val="0"/>
        <c:axId val="1344992207"/>
        <c:axId val="1302324255"/>
      </c:lineChart>
      <c:catAx>
        <c:axId val="13449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24255"/>
        <c:crosses val="autoZero"/>
        <c:auto val="1"/>
        <c:lblAlgn val="ctr"/>
        <c:lblOffset val="100"/>
        <c:noMultiLvlLbl val="0"/>
      </c:catAx>
      <c:valAx>
        <c:axId val="13023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vs. Actual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 Actual'!$C$5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9-48A4-90FE-41458C41297D}"/>
            </c:ext>
          </c:extLst>
        </c:ser>
        <c:ser>
          <c:idx val="1"/>
          <c:order val="1"/>
          <c:tx>
            <c:strRef>
              <c:f>'Budget v Actual'!$D$5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9-48A4-90FE-41458C412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992207"/>
        <c:axId val="1302324255"/>
      </c:barChart>
      <c:lineChart>
        <c:grouping val="standard"/>
        <c:varyColors val="0"/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29-48A4-90FE-41458C41297D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29-48A4-90FE-41458C412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300"/>
          <c:upBars>
            <c:spPr>
              <a:solidFill>
                <a:schemeClr val="accent6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upBars>
          <c:downBars>
            <c:spPr>
              <a:solidFill>
                <a:schemeClr val="accent4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downBars>
        </c:upDownBars>
        <c:marker val="1"/>
        <c:smooth val="0"/>
        <c:axId val="1344992207"/>
        <c:axId val="1302324255"/>
      </c:lineChart>
      <c:catAx>
        <c:axId val="13449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24255"/>
        <c:crosses val="autoZero"/>
        <c:auto val="1"/>
        <c:lblAlgn val="ctr"/>
        <c:lblOffset val="100"/>
        <c:noMultiLvlLbl val="0"/>
      </c:catAx>
      <c:valAx>
        <c:axId val="13023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vs. Actual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 Actual'!$C$5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9-4A71-99C3-24BFEF764C0B}"/>
            </c:ext>
          </c:extLst>
        </c:ser>
        <c:ser>
          <c:idx val="1"/>
          <c:order val="1"/>
          <c:tx>
            <c:strRef>
              <c:f>'Budget v Actual'!$D$5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9-4A71-99C3-24BFEF76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992207"/>
        <c:axId val="1302324255"/>
      </c:barChart>
      <c:lineChart>
        <c:grouping val="standard"/>
        <c:varyColors val="0"/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09-4A71-99C3-24BFEF764C0B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09-4A71-99C3-24BFEF76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300"/>
          <c:upBars>
            <c:spPr>
              <a:solidFill>
                <a:schemeClr val="accent6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upBars>
          <c:downBars>
            <c:spPr>
              <a:solidFill>
                <a:schemeClr val="accent4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downBars>
        </c:upDownBars>
        <c:marker val="1"/>
        <c:smooth val="0"/>
        <c:axId val="1344992207"/>
        <c:axId val="1302324255"/>
      </c:lineChart>
      <c:catAx>
        <c:axId val="13449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24255"/>
        <c:crosses val="autoZero"/>
        <c:auto val="1"/>
        <c:lblAlgn val="ctr"/>
        <c:lblOffset val="100"/>
        <c:noMultiLvlLbl val="0"/>
      </c:catAx>
      <c:valAx>
        <c:axId val="13023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vs. Actual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 Actual'!$C$5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5-4328-8EF9-F9F1CFF92EE9}"/>
            </c:ext>
          </c:extLst>
        </c:ser>
        <c:ser>
          <c:idx val="1"/>
          <c:order val="1"/>
          <c:tx>
            <c:strRef>
              <c:f>'Budget v Actual'!$D$5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5-4328-8EF9-F9F1CFF92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992207"/>
        <c:axId val="1302324255"/>
      </c:barChart>
      <c:lineChart>
        <c:grouping val="standard"/>
        <c:varyColors val="0"/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1DDAF34-B186-440E-A86B-36B7220B2F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095-4328-8EF9-F9F1CFF92EE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F777BF9-90A1-4A7D-8B45-CEFCC68C1C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095-4328-8EF9-F9F1CFF92EE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2C53AC1-99AB-4736-8FE6-D4ABD6DD1A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095-4328-8EF9-F9F1CFF92EE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E5A41BB-BCFE-447B-A125-582D8E3444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095-4328-8EF9-F9F1CFF92EE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A0C7DC4-A2E3-4F46-A540-E41C74421E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095-4328-8EF9-F9F1CFF92EE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3A6974C-67A5-450E-8B11-130EEB2448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095-4328-8EF9-F9F1CFF92EE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E836F42-0C9F-41CC-A4E2-116E178AD4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095-4328-8EF9-F9F1CFF92EE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77C46CA-95A8-4FD0-8B2E-B67D4C9E5A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095-4328-8EF9-F9F1CFF92EE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90DFF7F-CFFF-4B9F-8527-D3ABD4F34C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095-4328-8EF9-F9F1CFF92E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'Budget v Actual'!$H$6:$H$14</c15:f>
                <c15:dlblRangeCache>
                  <c:ptCount val="9"/>
                  <c:pt idx="0">
                    <c:v>👎 30%</c:v>
                  </c:pt>
                  <c:pt idx="1">
                    <c:v>🤞 5%</c:v>
                  </c:pt>
                  <c:pt idx="7">
                    <c:v>👎 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3095-4328-8EF9-F9F1CFF92EE9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6CA8C3B-1D74-4264-8819-D675C356DE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095-4328-8EF9-F9F1CFF92EE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A8DF275-7AED-4896-B118-2C5836DD2B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3095-4328-8EF9-F9F1CFF92EE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58E28E1-8148-4DE2-8D9C-C512981D83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095-4328-8EF9-F9F1CFF92EE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6B7C1D-AFAD-473D-A706-FD0B92EC73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095-4328-8EF9-F9F1CFF92EE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67B113F-BC22-45C9-8D3E-6731AACD9D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095-4328-8EF9-F9F1CFF92EE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EF830A4-9213-4425-B70B-A299E24F54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095-4328-8EF9-F9F1CFF92EE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532F3B3-E4D5-41E0-ADCE-545E744EFE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095-4328-8EF9-F9F1CFF92EE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D584F41-5F94-4B95-9BC8-E3721CD293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3095-4328-8EF9-F9F1CFF92EE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AB28DAA-C201-457A-B8DB-21BC86F7DF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095-4328-8EF9-F9F1CFF92E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'Budget v Actual'!$I$6:$I$14</c15:f>
                <c15:dlblRangeCache>
                  <c:ptCount val="9"/>
                  <c:pt idx="2">
                    <c:v>👌 0%</c:v>
                  </c:pt>
                  <c:pt idx="3">
                    <c:v>👌 4%</c:v>
                  </c:pt>
                  <c:pt idx="4">
                    <c:v>👌 7%</c:v>
                  </c:pt>
                  <c:pt idx="5">
                    <c:v>👍 10%</c:v>
                  </c:pt>
                  <c:pt idx="6">
                    <c:v>👍 13%</c:v>
                  </c:pt>
                  <c:pt idx="8">
                    <c:v>👍👍 42%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3095-4328-8EF9-F9F1CFF92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300"/>
          <c:upBars>
            <c:spPr>
              <a:solidFill>
                <a:schemeClr val="accent6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upBars>
          <c:downBars>
            <c:spPr>
              <a:solidFill>
                <a:schemeClr val="accent4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downBars>
        </c:upDownBars>
        <c:marker val="1"/>
        <c:smooth val="0"/>
        <c:axId val="1344992207"/>
        <c:axId val="1302324255"/>
      </c:lineChart>
      <c:catAx>
        <c:axId val="13449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24255"/>
        <c:crosses val="autoZero"/>
        <c:auto val="1"/>
        <c:lblAlgn val="ctr"/>
        <c:lblOffset val="100"/>
        <c:noMultiLvlLbl val="0"/>
      </c:catAx>
      <c:valAx>
        <c:axId val="13023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vs. Actual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 Actual'!$C$5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F-44CD-BA28-B0E7DEBC532A}"/>
            </c:ext>
          </c:extLst>
        </c:ser>
        <c:ser>
          <c:idx val="1"/>
          <c:order val="1"/>
          <c:tx>
            <c:strRef>
              <c:f>'Budget v Actual'!$D$5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3F-44CD-BA28-B0E7DEBC5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992207"/>
        <c:axId val="1302324255"/>
      </c:barChart>
      <c:lineChart>
        <c:grouping val="standard"/>
        <c:varyColors val="0"/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280B90C-6224-4895-B58D-AB713B073D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E3F-44CD-BA28-B0E7DEBC53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9DCA82E-03CF-4234-BAD1-072AA298F1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E3F-44CD-BA28-B0E7DEBC53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B9C2AD7-6B4B-4D5E-95C0-10E3246DC9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E3F-44CD-BA28-B0E7DEBC53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EB78E56-42D1-4320-A836-0FD4134BDB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E3F-44CD-BA28-B0E7DEBC53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42D5CC7-2C73-4575-A3D3-5944036551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E3F-44CD-BA28-B0E7DEBC53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E541006-E6A4-4708-9E08-3DB57AEF6D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E3F-44CD-BA28-B0E7DEBC53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360B202-9ED2-4F44-880B-ACFD878ED8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E3F-44CD-BA28-B0E7DEBC53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0DE7ECD-93B2-4F13-944D-FA7A91FCB3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E3F-44CD-BA28-B0E7DEBC53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57EF259-3548-475D-B797-8F949EAD55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E3F-44CD-BA28-B0E7DEBC5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Actual'!$C$6:$C$14</c:f>
              <c:numCache>
                <c:formatCode>General</c:formatCode>
                <c:ptCount val="9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650</c:v>
                </c:pt>
                <c:pt idx="8">
                  <c:v>600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'Budget v Actual'!$H$6:$H$14</c15:f>
                <c15:dlblRangeCache>
                  <c:ptCount val="9"/>
                  <c:pt idx="0">
                    <c:v>👎 30%</c:v>
                  </c:pt>
                  <c:pt idx="1">
                    <c:v>🤞 5%</c:v>
                  </c:pt>
                  <c:pt idx="7">
                    <c:v>👎 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7E3F-44CD-BA28-B0E7DEBC532A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44CE171-68BA-41E6-AA4D-DD987EE43A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E3F-44CD-BA28-B0E7DEBC53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7AF64F3-326D-4BAC-9CD3-DB820C3A47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E3F-44CD-BA28-B0E7DEBC53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AA7FE1C-C2BE-4A3A-AAB3-5C2A14C787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E3F-44CD-BA28-B0E7DEBC53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040573A-BE86-4833-93CB-78DA5B5462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E3F-44CD-BA28-B0E7DEBC53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1038A99-14D7-43D5-9201-9BB9A977CC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E3F-44CD-BA28-B0E7DEBC53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EE29931-9E30-4293-9C58-E010E3FCEF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E3F-44CD-BA28-B0E7DEBC53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9205944-4321-4E33-A42A-3C5C7DF883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E3F-44CD-BA28-B0E7DEBC53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68BC8D7-69D7-4DF1-9FC5-5F7D3D72D6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7E3F-44CD-BA28-B0E7DEBC53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44E7C0D-92EC-41C6-9A1E-802907AFF0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E3F-44CD-BA28-B0E7DEBC5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v Actual'!$B$6:$B$14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'Budget v Actual'!$D$6:$D$14</c:f>
              <c:numCache>
                <c:formatCode>General</c:formatCode>
                <c:ptCount val="9"/>
                <c:pt idx="0">
                  <c:v>350</c:v>
                </c:pt>
                <c:pt idx="1">
                  <c:v>525</c:v>
                </c:pt>
                <c:pt idx="2">
                  <c:v>600</c:v>
                </c:pt>
                <c:pt idx="3">
                  <c:v>675</c:v>
                </c:pt>
                <c:pt idx="4">
                  <c:v>750</c:v>
                </c:pt>
                <c:pt idx="5">
                  <c:v>825</c:v>
                </c:pt>
                <c:pt idx="6">
                  <c:v>900</c:v>
                </c:pt>
                <c:pt idx="7">
                  <c:v>475</c:v>
                </c:pt>
                <c:pt idx="8">
                  <c:v>850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'Budget v Actual'!$I$6:$I$14</c15:f>
                <c15:dlblRangeCache>
                  <c:ptCount val="9"/>
                  <c:pt idx="2">
                    <c:v>👌 0%</c:v>
                  </c:pt>
                  <c:pt idx="3">
                    <c:v>👌 4%</c:v>
                  </c:pt>
                  <c:pt idx="4">
                    <c:v>👌 7%</c:v>
                  </c:pt>
                  <c:pt idx="5">
                    <c:v>👍 10%</c:v>
                  </c:pt>
                  <c:pt idx="6">
                    <c:v>👍 13%</c:v>
                  </c:pt>
                  <c:pt idx="8">
                    <c:v>👍👍 42%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7E3F-44CD-BA28-B0E7DEBC5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300"/>
          <c:upBars>
            <c:spPr>
              <a:solidFill>
                <a:schemeClr val="accent6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upBars>
          <c:downBars>
            <c:spPr>
              <a:solidFill>
                <a:schemeClr val="accent4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</a:ln>
              <a:effectLst/>
            </c:spPr>
          </c:downBars>
        </c:upDownBars>
        <c:marker val="1"/>
        <c:smooth val="0"/>
        <c:axId val="1344992207"/>
        <c:axId val="1302324255"/>
      </c:lineChart>
      <c:catAx>
        <c:axId val="13449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24255"/>
        <c:crosses val="autoZero"/>
        <c:auto val="1"/>
        <c:lblAlgn val="ctr"/>
        <c:lblOffset val="100"/>
        <c:noMultiLvlLbl val="0"/>
      </c:catAx>
      <c:valAx>
        <c:axId val="13023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hyperlink" Target="https://chandoo.org/wp/category/visualization/" TargetMode="Externa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1.pn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A9CD33-90AB-4D01-81B3-9EC2F0985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7</xdr:col>
      <xdr:colOff>708660</xdr:colOff>
      <xdr:row>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D1FD0-3B3D-4B8A-8AF0-2FB59557C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51</xdr:row>
      <xdr:rowOff>0</xdr:rowOff>
    </xdr:from>
    <xdr:to>
      <xdr:col>7</xdr:col>
      <xdr:colOff>708660</xdr:colOff>
      <xdr:row>66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5EE0B5-1BE7-414C-A6EF-B3AC1ECF7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69</xdr:row>
      <xdr:rowOff>0</xdr:rowOff>
    </xdr:from>
    <xdr:to>
      <xdr:col>7</xdr:col>
      <xdr:colOff>708660</xdr:colOff>
      <xdr:row>84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A7C1C9-A974-407D-98E9-54E81690D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87</xdr:row>
      <xdr:rowOff>0</xdr:rowOff>
    </xdr:from>
    <xdr:to>
      <xdr:col>7</xdr:col>
      <xdr:colOff>708660</xdr:colOff>
      <xdr:row>102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DA06CE-94A0-44DE-9499-0C7626E74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105</xdr:row>
      <xdr:rowOff>0</xdr:rowOff>
    </xdr:from>
    <xdr:to>
      <xdr:col>7</xdr:col>
      <xdr:colOff>708660</xdr:colOff>
      <xdr:row>120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ACAD32-6CCB-4230-BD62-6A144821F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125</xdr:row>
      <xdr:rowOff>0</xdr:rowOff>
    </xdr:from>
    <xdr:to>
      <xdr:col>7</xdr:col>
      <xdr:colOff>708660</xdr:colOff>
      <xdr:row>140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82F7D0-9D58-496C-BEE3-399393F74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144</xdr:row>
      <xdr:rowOff>0</xdr:rowOff>
    </xdr:from>
    <xdr:to>
      <xdr:col>7</xdr:col>
      <xdr:colOff>708660</xdr:colOff>
      <xdr:row>159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70D56C-F415-4D3E-A9A5-F68AD20DC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163</xdr:row>
      <xdr:rowOff>0</xdr:rowOff>
    </xdr:from>
    <xdr:to>
      <xdr:col>7</xdr:col>
      <xdr:colOff>708660</xdr:colOff>
      <xdr:row>178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19E422-8CBE-47E2-A6E6-C90E2C776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181</xdr:row>
      <xdr:rowOff>0</xdr:rowOff>
    </xdr:from>
    <xdr:to>
      <xdr:col>7</xdr:col>
      <xdr:colOff>708660</xdr:colOff>
      <xdr:row>196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AFC309-CEFA-4598-A385-A794D06F0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199</xdr:row>
      <xdr:rowOff>0</xdr:rowOff>
    </xdr:from>
    <xdr:to>
      <xdr:col>7</xdr:col>
      <xdr:colOff>708660</xdr:colOff>
      <xdr:row>214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E7FE41A-46D1-411E-BBD9-71E985BAE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217</xdr:row>
      <xdr:rowOff>0</xdr:rowOff>
    </xdr:from>
    <xdr:to>
      <xdr:col>7</xdr:col>
      <xdr:colOff>708660</xdr:colOff>
      <xdr:row>232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C8F1D9A-3B21-4F5A-A644-8F6189C91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0</xdr:colOff>
      <xdr:row>0</xdr:row>
      <xdr:rowOff>83820</xdr:rowOff>
    </xdr:from>
    <xdr:to>
      <xdr:col>15</xdr:col>
      <xdr:colOff>0</xdr:colOff>
      <xdr:row>0</xdr:row>
      <xdr:rowOff>373380</xdr:rowOff>
    </xdr:to>
    <xdr:sp macro="" textlink="">
      <xdr:nvSpPr>
        <xdr:cNvPr id="14" name="Rectangle: Rounded Corners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CA88829-27FD-41D5-B5A6-209D599EFB53}"/>
            </a:ext>
          </a:extLst>
        </xdr:cNvPr>
        <xdr:cNvSpPr/>
      </xdr:nvSpPr>
      <xdr:spPr>
        <a:xfrm>
          <a:off x="6416040" y="83820"/>
          <a:ext cx="3048000" cy="289560"/>
        </a:xfrm>
        <a:prstGeom prst="round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  <a:effectLst>
                <a:outerShdw blurRad="50800" dist="38100" dir="5400000" algn="t" rotWithShape="0">
                  <a:schemeClr val="bg1">
                    <a:lumMod val="95000"/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Click me for more AWESOME charts</a:t>
          </a:r>
        </a:p>
      </xdr:txBody>
    </xdr:sp>
    <xdr:clientData/>
  </xdr:twoCellAnchor>
  <xdr:twoCellAnchor>
    <xdr:from>
      <xdr:col>14</xdr:col>
      <xdr:colOff>228600</xdr:colOff>
      <xdr:row>0</xdr:row>
      <xdr:rowOff>182880</xdr:rowOff>
    </xdr:from>
    <xdr:to>
      <xdr:col>14</xdr:col>
      <xdr:colOff>350520</xdr:colOff>
      <xdr:row>0</xdr:row>
      <xdr:rowOff>304800</xdr:rowOff>
    </xdr:to>
    <xdr:sp macro="" textlink="">
      <xdr:nvSpPr>
        <xdr:cNvPr id="15" name="Heart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2E77537-BBEB-4222-ADAA-FCAAD41E074C}"/>
            </a:ext>
          </a:extLst>
        </xdr:cNvPr>
        <xdr:cNvSpPr/>
      </xdr:nvSpPr>
      <xdr:spPr>
        <a:xfrm>
          <a:off x="9083040" y="182880"/>
          <a:ext cx="121920" cy="121920"/>
        </a:xfrm>
        <a:prstGeom prst="heart">
          <a:avLst/>
        </a:prstGeom>
        <a:solidFill>
          <a:srgbClr val="C00000"/>
        </a:solidFill>
        <a:ln w="3175">
          <a:solidFill>
            <a:srgbClr val="FFC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</xdr:col>
      <xdr:colOff>510540</xdr:colOff>
      <xdr:row>0</xdr:row>
      <xdr:rowOff>53340</xdr:rowOff>
    </xdr:from>
    <xdr:to>
      <xdr:col>18</xdr:col>
      <xdr:colOff>0</xdr:colOff>
      <xdr:row>0</xdr:row>
      <xdr:rowOff>410248</xdr:rowOff>
    </xdr:to>
    <xdr:pic>
      <xdr:nvPicPr>
        <xdr:cNvPr id="17" name="Picture 1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4673BCC-E205-4C1D-BAB8-F6522510D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4580" y="53340"/>
          <a:ext cx="1318260" cy="356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6"/>
  <sheetViews>
    <sheetView showGridLines="0" tabSelected="1" workbookViewId="0">
      <selection activeCell="K22" sqref="K22"/>
    </sheetView>
  </sheetViews>
  <sheetFormatPr defaultRowHeight="14.4" x14ac:dyDescent="0.3"/>
  <cols>
    <col min="1" max="1" width="4.5546875" customWidth="1"/>
    <col min="7" max="9" width="11.88671875" customWidth="1"/>
  </cols>
  <sheetData>
    <row r="1" spans="2:18" s="6" customFormat="1" ht="36" customHeight="1" x14ac:dyDescent="0.3">
      <c r="B1" s="7" t="s">
        <v>24</v>
      </c>
    </row>
    <row r="3" spans="2:18" x14ac:dyDescent="0.3">
      <c r="B3" s="10" t="s">
        <v>25</v>
      </c>
      <c r="C3" s="12"/>
      <c r="D3" s="12"/>
      <c r="E3" s="10" t="s">
        <v>41</v>
      </c>
      <c r="F3" s="12"/>
      <c r="G3" s="12"/>
      <c r="H3" s="12"/>
      <c r="I3" s="11"/>
      <c r="K3" s="10" t="s">
        <v>26</v>
      </c>
      <c r="L3" s="12"/>
      <c r="M3" s="12"/>
      <c r="N3" s="12"/>
      <c r="O3" s="12"/>
      <c r="P3" s="12"/>
      <c r="Q3" s="12"/>
      <c r="R3" s="11"/>
    </row>
    <row r="5" spans="2:18" x14ac:dyDescent="0.3">
      <c r="B5" s="8" t="s">
        <v>21</v>
      </c>
      <c r="C5" s="14" t="s">
        <v>20</v>
      </c>
      <c r="D5" s="14" t="s">
        <v>19</v>
      </c>
      <c r="E5" s="14" t="s">
        <v>18</v>
      </c>
      <c r="F5" s="14" t="s">
        <v>17</v>
      </c>
      <c r="G5" s="8" t="s">
        <v>16</v>
      </c>
      <c r="H5" s="9" t="s">
        <v>15</v>
      </c>
      <c r="I5" s="9" t="s">
        <v>14</v>
      </c>
    </row>
    <row r="6" spans="2:18" x14ac:dyDescent="0.3">
      <c r="B6" s="1" t="s">
        <v>13</v>
      </c>
      <c r="C6" s="15">
        <v>500</v>
      </c>
      <c r="D6" s="15">
        <v>350</v>
      </c>
      <c r="E6" s="16">
        <f t="shared" ref="E6:E14" si="0">D6-C6</f>
        <v>-150</v>
      </c>
      <c r="F6" s="17">
        <f t="shared" ref="F6:F14" si="1">E6/C6</f>
        <v>-0.3</v>
      </c>
      <c r="G6" s="1" t="str">
        <f t="shared" ref="G6:G14" si="2">VLOOKUP(F6,$B$22:$C$26,2)&amp;" "</f>
        <v xml:space="preserve">👎 </v>
      </c>
      <c r="H6" s="2" t="str">
        <f t="shared" ref="H6:H14" si="3">IF($F6&lt;0,$G6&amp;TEXT(ABS($F6),"0%"),"")</f>
        <v>👎 30%</v>
      </c>
      <c r="I6" s="2" t="str">
        <f t="shared" ref="I6:I14" si="4">IF($F6&gt;=0,$G6&amp;TEXT(ABS($F6),"0%"),"")</f>
        <v/>
      </c>
    </row>
    <row r="7" spans="2:18" x14ac:dyDescent="0.3">
      <c r="B7" s="1" t="s">
        <v>12</v>
      </c>
      <c r="C7" s="15">
        <v>550</v>
      </c>
      <c r="D7" s="15">
        <v>525</v>
      </c>
      <c r="E7" s="16">
        <f t="shared" si="0"/>
        <v>-25</v>
      </c>
      <c r="F7" s="17">
        <f t="shared" si="1"/>
        <v>-4.5454545454545456E-2</v>
      </c>
      <c r="G7" s="1" t="str">
        <f t="shared" si="2"/>
        <v xml:space="preserve">🤞 </v>
      </c>
      <c r="H7" s="2" t="str">
        <f t="shared" si="3"/>
        <v>🤞 5%</v>
      </c>
      <c r="I7" s="2" t="str">
        <f t="shared" si="4"/>
        <v/>
      </c>
    </row>
    <row r="8" spans="2:18" x14ac:dyDescent="0.3">
      <c r="B8" s="1" t="s">
        <v>11</v>
      </c>
      <c r="C8" s="15">
        <v>600</v>
      </c>
      <c r="D8" s="15">
        <v>600</v>
      </c>
      <c r="E8" s="16">
        <f t="shared" si="0"/>
        <v>0</v>
      </c>
      <c r="F8" s="17">
        <f t="shared" si="1"/>
        <v>0</v>
      </c>
      <c r="G8" s="1" t="str">
        <f t="shared" si="2"/>
        <v xml:space="preserve">👌 </v>
      </c>
      <c r="H8" s="2" t="str">
        <f t="shared" si="3"/>
        <v/>
      </c>
      <c r="I8" s="2" t="str">
        <f t="shared" si="4"/>
        <v>👌 0%</v>
      </c>
    </row>
    <row r="9" spans="2:18" x14ac:dyDescent="0.3">
      <c r="B9" s="1" t="s">
        <v>10</v>
      </c>
      <c r="C9" s="15">
        <v>650</v>
      </c>
      <c r="D9" s="15">
        <v>675</v>
      </c>
      <c r="E9" s="16">
        <f t="shared" si="0"/>
        <v>25</v>
      </c>
      <c r="F9" s="17">
        <f t="shared" si="1"/>
        <v>3.8461538461538464E-2</v>
      </c>
      <c r="G9" s="1" t="str">
        <f t="shared" si="2"/>
        <v xml:space="preserve">👌 </v>
      </c>
      <c r="H9" s="2" t="str">
        <f t="shared" si="3"/>
        <v/>
      </c>
      <c r="I9" s="2" t="str">
        <f t="shared" si="4"/>
        <v>👌 4%</v>
      </c>
    </row>
    <row r="10" spans="2:18" x14ac:dyDescent="0.3">
      <c r="B10" s="1" t="s">
        <v>9</v>
      </c>
      <c r="C10" s="15">
        <v>700</v>
      </c>
      <c r="D10" s="15">
        <v>750</v>
      </c>
      <c r="E10" s="16">
        <f t="shared" si="0"/>
        <v>50</v>
      </c>
      <c r="F10" s="17">
        <f t="shared" si="1"/>
        <v>7.1428571428571425E-2</v>
      </c>
      <c r="G10" s="1" t="str">
        <f t="shared" si="2"/>
        <v xml:space="preserve">👌 </v>
      </c>
      <c r="H10" s="2" t="str">
        <f t="shared" si="3"/>
        <v/>
      </c>
      <c r="I10" s="2" t="str">
        <f t="shared" si="4"/>
        <v>👌 7%</v>
      </c>
    </row>
    <row r="11" spans="2:18" x14ac:dyDescent="0.3">
      <c r="B11" s="1" t="s">
        <v>8</v>
      </c>
      <c r="C11" s="15">
        <v>750</v>
      </c>
      <c r="D11" s="15">
        <v>825</v>
      </c>
      <c r="E11" s="16">
        <f t="shared" si="0"/>
        <v>75</v>
      </c>
      <c r="F11" s="17">
        <f t="shared" si="1"/>
        <v>0.1</v>
      </c>
      <c r="G11" s="1" t="str">
        <f t="shared" si="2"/>
        <v xml:space="preserve">👍 </v>
      </c>
      <c r="H11" s="2" t="str">
        <f t="shared" si="3"/>
        <v/>
      </c>
      <c r="I11" s="2" t="str">
        <f t="shared" si="4"/>
        <v>👍 10%</v>
      </c>
    </row>
    <row r="12" spans="2:18" x14ac:dyDescent="0.3">
      <c r="B12" s="1" t="s">
        <v>7</v>
      </c>
      <c r="C12" s="15">
        <v>800</v>
      </c>
      <c r="D12" s="15">
        <v>900</v>
      </c>
      <c r="E12" s="16">
        <f t="shared" si="0"/>
        <v>100</v>
      </c>
      <c r="F12" s="17">
        <f t="shared" si="1"/>
        <v>0.125</v>
      </c>
      <c r="G12" s="1" t="str">
        <f t="shared" si="2"/>
        <v xml:space="preserve">👍 </v>
      </c>
      <c r="H12" s="2" t="str">
        <f t="shared" si="3"/>
        <v/>
      </c>
      <c r="I12" s="2" t="str">
        <f t="shared" si="4"/>
        <v>👍 13%</v>
      </c>
    </row>
    <row r="13" spans="2:18" x14ac:dyDescent="0.3">
      <c r="B13" s="1" t="s">
        <v>6</v>
      </c>
      <c r="C13" s="15">
        <v>650</v>
      </c>
      <c r="D13" s="15">
        <v>475</v>
      </c>
      <c r="E13" s="16">
        <f t="shared" si="0"/>
        <v>-175</v>
      </c>
      <c r="F13" s="17">
        <f t="shared" si="1"/>
        <v>-0.26923076923076922</v>
      </c>
      <c r="G13" s="1" t="str">
        <f t="shared" si="2"/>
        <v xml:space="preserve">👎 </v>
      </c>
      <c r="H13" s="2" t="str">
        <f t="shared" si="3"/>
        <v>👎 27%</v>
      </c>
      <c r="I13" s="2" t="str">
        <f t="shared" si="4"/>
        <v/>
      </c>
    </row>
    <row r="14" spans="2:18" x14ac:dyDescent="0.3">
      <c r="B14" s="1" t="s">
        <v>5</v>
      </c>
      <c r="C14" s="15">
        <v>600</v>
      </c>
      <c r="D14" s="15">
        <v>850</v>
      </c>
      <c r="E14" s="16">
        <f t="shared" si="0"/>
        <v>250</v>
      </c>
      <c r="F14" s="17">
        <f t="shared" si="1"/>
        <v>0.41666666666666669</v>
      </c>
      <c r="G14" s="1" t="str">
        <f t="shared" si="2"/>
        <v xml:space="preserve">👍👍 </v>
      </c>
      <c r="H14" s="2" t="str">
        <f t="shared" si="3"/>
        <v/>
      </c>
      <c r="I14" s="2" t="str">
        <f t="shared" si="4"/>
        <v>👍👍 42%</v>
      </c>
    </row>
    <row r="19" spans="1:3" x14ac:dyDescent="0.3">
      <c r="B19" s="10" t="s">
        <v>22</v>
      </c>
      <c r="C19" s="11"/>
    </row>
    <row r="21" spans="1:3" x14ac:dyDescent="0.3">
      <c r="B21" s="3" t="s">
        <v>23</v>
      </c>
      <c r="C21" s="3" t="s">
        <v>16</v>
      </c>
    </row>
    <row r="22" spans="1:3" ht="15.6" x14ac:dyDescent="0.35">
      <c r="B22" s="4">
        <v>-1</v>
      </c>
      <c r="C22" s="5" t="s">
        <v>4</v>
      </c>
    </row>
    <row r="23" spans="1:3" ht="15.6" x14ac:dyDescent="0.35">
      <c r="B23" s="4">
        <v>-0.05</v>
      </c>
      <c r="C23" s="5" t="s">
        <v>3</v>
      </c>
    </row>
    <row r="24" spans="1:3" ht="15.6" x14ac:dyDescent="0.35">
      <c r="B24" s="4">
        <v>0</v>
      </c>
      <c r="C24" s="5" t="s">
        <v>2</v>
      </c>
    </row>
    <row r="25" spans="1:3" ht="15.6" x14ac:dyDescent="0.35">
      <c r="B25" s="4">
        <v>0.1</v>
      </c>
      <c r="C25" s="5" t="s">
        <v>1</v>
      </c>
    </row>
    <row r="26" spans="1:3" ht="15.6" x14ac:dyDescent="0.35">
      <c r="B26" s="4">
        <v>0.25</v>
      </c>
      <c r="C26" s="5" t="s">
        <v>0</v>
      </c>
    </row>
    <row r="30" spans="1:3" x14ac:dyDescent="0.3">
      <c r="B30" s="13" t="s">
        <v>27</v>
      </c>
    </row>
    <row r="32" spans="1:3" x14ac:dyDescent="0.3">
      <c r="A32">
        <v>1</v>
      </c>
      <c r="B32" t="s">
        <v>28</v>
      </c>
    </row>
    <row r="50" spans="1:2" x14ac:dyDescent="0.3">
      <c r="A50">
        <v>2</v>
      </c>
      <c r="B50" t="s">
        <v>29</v>
      </c>
    </row>
    <row r="68" spans="1:2" x14ac:dyDescent="0.3">
      <c r="A68">
        <v>3</v>
      </c>
      <c r="B68" t="s">
        <v>30</v>
      </c>
    </row>
    <row r="86" spans="1:2" x14ac:dyDescent="0.3">
      <c r="A86">
        <v>4</v>
      </c>
      <c r="B86" t="s">
        <v>31</v>
      </c>
    </row>
    <row r="104" spans="1:2" x14ac:dyDescent="0.3">
      <c r="A104">
        <v>5</v>
      </c>
      <c r="B104" t="s">
        <v>32</v>
      </c>
    </row>
    <row r="122" spans="1:2" x14ac:dyDescent="0.3">
      <c r="A122">
        <v>6</v>
      </c>
      <c r="B122" t="s">
        <v>33</v>
      </c>
    </row>
    <row r="123" spans="1:2" x14ac:dyDescent="0.3">
      <c r="B123" t="s">
        <v>34</v>
      </c>
    </row>
    <row r="124" spans="1:2" x14ac:dyDescent="0.3">
      <c r="B124" t="s">
        <v>35</v>
      </c>
    </row>
    <row r="143" spans="1:2" x14ac:dyDescent="0.3">
      <c r="A143">
        <v>7</v>
      </c>
      <c r="B143" t="s">
        <v>36</v>
      </c>
    </row>
    <row r="162" spans="1:2" x14ac:dyDescent="0.3">
      <c r="A162">
        <v>8</v>
      </c>
      <c r="B162" t="s">
        <v>37</v>
      </c>
    </row>
    <row r="180" spans="1:2" x14ac:dyDescent="0.3">
      <c r="A180">
        <v>9</v>
      </c>
      <c r="B180" t="s">
        <v>38</v>
      </c>
    </row>
    <row r="198" spans="1:2" x14ac:dyDescent="0.3">
      <c r="A198">
        <v>10</v>
      </c>
      <c r="B198" t="s">
        <v>39</v>
      </c>
    </row>
    <row r="216" spans="1:2" x14ac:dyDescent="0.3">
      <c r="A216">
        <v>11</v>
      </c>
      <c r="B216" t="s">
        <v>40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v 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Chandoo</cp:lastModifiedBy>
  <dcterms:created xsi:type="dcterms:W3CDTF">2018-05-15T22:18:16Z</dcterms:created>
  <dcterms:modified xsi:type="dcterms:W3CDTF">2018-05-16T10:26:39Z</dcterms:modified>
</cp:coreProperties>
</file>